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wnloads\ECE322L Jason Yan LTSpice Labs\LTSpice Labs\Lab 4 prelab\"/>
    </mc:Choice>
  </mc:AlternateContent>
  <xr:revisionPtr revIDLastSave="0" documentId="8_{15D4EBBF-585C-4BB6-827C-3B52CF3E735D}" xr6:coauthVersionLast="47" xr6:coauthVersionMax="47" xr10:uidLastSave="{00000000-0000-0000-0000-000000000000}"/>
  <bookViews>
    <workbookView xWindow="-108" yWindow="-108" windowWidth="23256" windowHeight="12456" xr2:uid="{DE52FD4F-7FA1-4E2F-8406-535581076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" l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5" i="1"/>
  <c r="B2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5" i="1"/>
  <c r="H3" i="1"/>
  <c r="H2" i="1"/>
  <c r="H1" i="1"/>
  <c r="B25" i="1"/>
  <c r="B5" i="1"/>
  <c r="A6" i="1"/>
  <c r="B6" i="1" s="1"/>
  <c r="A7" i="1" l="1"/>
  <c r="B7" i="1" s="1"/>
  <c r="A8" i="1" l="1"/>
  <c r="B8" i="1" s="1"/>
  <c r="A9" i="1" l="1"/>
  <c r="B9" i="1" s="1"/>
  <c r="A10" i="1" l="1"/>
  <c r="B10" i="1" s="1"/>
  <c r="A11" i="1" l="1"/>
  <c r="B11" i="1" s="1"/>
  <c r="A12" i="1" l="1"/>
  <c r="B12" i="1" s="1"/>
  <c r="A13" i="1" l="1"/>
  <c r="B13" i="1" s="1"/>
  <c r="A14" i="1" l="1"/>
  <c r="B14" i="1" s="1"/>
  <c r="A15" i="1" l="1"/>
  <c r="B15" i="1" s="1"/>
  <c r="A16" i="1" l="1"/>
  <c r="B16" i="1" s="1"/>
  <c r="A17" i="1" l="1"/>
  <c r="B17" i="1" s="1"/>
  <c r="A18" i="1" l="1"/>
  <c r="B18" i="1" s="1"/>
  <c r="A19" i="1" l="1"/>
  <c r="B19" i="1" s="1"/>
  <c r="A20" i="1" l="1"/>
  <c r="B20" i="1" s="1"/>
  <c r="A21" i="1" l="1"/>
  <c r="B21" i="1" s="1"/>
  <c r="A22" i="1" l="1"/>
  <c r="B22" i="1" s="1"/>
  <c r="A23" i="1" l="1"/>
  <c r="B23" i="1" s="1"/>
  <c r="A24" i="1" l="1"/>
  <c r="B24" i="1" s="1"/>
  <c r="A26" i="1" l="1"/>
  <c r="B26" i="1" s="1"/>
  <c r="A27" i="1" l="1"/>
  <c r="B27" i="1" s="1"/>
  <c r="A28" i="1" l="1"/>
  <c r="B28" i="1" s="1"/>
  <c r="A29" i="1" l="1"/>
  <c r="B29" i="1" s="1"/>
  <c r="A30" i="1" l="1"/>
  <c r="B30" i="1" s="1"/>
  <c r="A31" i="1" l="1"/>
  <c r="B31" i="1" s="1"/>
  <c r="A32" i="1" l="1"/>
  <c r="B32" i="1" s="1"/>
  <c r="A33" i="1" l="1"/>
  <c r="B33" i="1" s="1"/>
  <c r="A34" i="1" l="1"/>
  <c r="B34" i="1" s="1"/>
  <c r="A35" i="1" l="1"/>
  <c r="B35" i="1" s="1"/>
  <c r="A36" i="1" l="1"/>
  <c r="B36" i="1" s="1"/>
  <c r="A37" i="1" l="1"/>
  <c r="B37" i="1" s="1"/>
  <c r="A38" i="1" l="1"/>
  <c r="B38" i="1" s="1"/>
  <c r="A39" i="1" l="1"/>
  <c r="B39" i="1" s="1"/>
  <c r="A40" i="1" l="1"/>
  <c r="B40" i="1" s="1"/>
  <c r="A41" i="1" l="1"/>
  <c r="B41" i="1" s="1"/>
  <c r="A42" i="1" l="1"/>
  <c r="B42" i="1" s="1"/>
  <c r="A43" i="1" l="1"/>
  <c r="B43" i="1" s="1"/>
  <c r="A44" i="1" l="1"/>
  <c r="B44" i="1" s="1"/>
  <c r="A45" i="1" l="1"/>
  <c r="B45" i="1" s="1"/>
</calcChain>
</file>

<file path=xl/sharedStrings.xml><?xml version="1.0" encoding="utf-8"?>
<sst xmlns="http://schemas.openxmlformats.org/spreadsheetml/2006/main" count="16" uniqueCount="15">
  <si>
    <t>Vin (mV)</t>
  </si>
  <si>
    <t>Vout Ideal (V)</t>
  </si>
  <si>
    <t>Vo Actual (V)</t>
  </si>
  <si>
    <t>A0 = 100dB (V/V) :</t>
  </si>
  <si>
    <t>VOH (clipping) (V)</t>
  </si>
  <si>
    <t>VOL (clipping) (V)</t>
  </si>
  <si>
    <t>R1 (ohms)</t>
  </si>
  <si>
    <t>Rf (ohms)</t>
  </si>
  <si>
    <t>Acl (ideal) (V/V)</t>
  </si>
  <si>
    <t>Acl (actual) (V/V)</t>
  </si>
  <si>
    <t xml:space="preserve">Feedback </t>
  </si>
  <si>
    <t>Vo Actual Clipped (V)</t>
  </si>
  <si>
    <t>Unity Gain Bandwith (Hz)</t>
  </si>
  <si>
    <t>3dB Freq point (Hz)</t>
  </si>
  <si>
    <t>(prediction)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</si>
</sst>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6B92-195E-46F9-B132-745421392532}">
  <dimension ref="A1:I45"/>
  <sheetViews>
    <sheetView tabSelected="1" workbookViewId="0">
      <selection activeCell="H13" sqref="H13"/>
    </sheetView>
  </sheetViews>
  <sheetFormatPr defaultRowHeight="14.4" x14ac:dyDescent="0.3"/>
  <cols>
    <col min="1" max="1" width="15.109375" customWidth="1"/>
    <col min="2" max="2" width="13.21875" customWidth="1"/>
    <col min="3" max="3" width="12.44140625" customWidth="1"/>
    <col min="4" max="4" width="17.21875" customWidth="1"/>
    <col min="7" max="7" width="20.5546875" customWidth="1"/>
  </cols>
  <sheetData>
    <row r="1" spans="1:9" x14ac:dyDescent="0.3">
      <c r="A1" s="1" t="s">
        <v>3</v>
      </c>
      <c r="B1" s="1">
        <v>100000</v>
      </c>
      <c r="C1" s="1"/>
      <c r="D1" s="1" t="s">
        <v>6</v>
      </c>
      <c r="E1" s="1">
        <v>1000</v>
      </c>
      <c r="F1" s="1"/>
      <c r="G1" s="2" t="s">
        <v>8</v>
      </c>
      <c r="H1" s="2">
        <f>1+E2/E1</f>
        <v>100</v>
      </c>
      <c r="I1" s="2"/>
    </row>
    <row r="2" spans="1:9" x14ac:dyDescent="0.3">
      <c r="A2" s="1" t="s">
        <v>4</v>
      </c>
      <c r="B2" s="1">
        <f>10-1.5</f>
        <v>8.5</v>
      </c>
      <c r="C2" s="1"/>
      <c r="D2" s="1" t="s">
        <v>7</v>
      </c>
      <c r="E2" s="1">
        <v>99000</v>
      </c>
      <c r="F2" s="1"/>
      <c r="G2" s="2" t="s">
        <v>10</v>
      </c>
      <c r="H2" s="2">
        <f>E1/(E1+E2)</f>
        <v>0.01</v>
      </c>
      <c r="I2" s="2"/>
    </row>
    <row r="3" spans="1:9" x14ac:dyDescent="0.3">
      <c r="A3" s="1" t="s">
        <v>5</v>
      </c>
      <c r="B3" s="1">
        <v>-10</v>
      </c>
      <c r="C3" s="1"/>
      <c r="D3" s="1"/>
      <c r="E3" s="1"/>
      <c r="F3" s="1"/>
      <c r="G3" s="2" t="s">
        <v>9</v>
      </c>
      <c r="H3" s="2">
        <f>B1/(1+B1*H2)</f>
        <v>99.900099900099903</v>
      </c>
      <c r="I3" s="2"/>
    </row>
    <row r="4" spans="1:9" x14ac:dyDescent="0.3">
      <c r="A4" t="s">
        <v>0</v>
      </c>
      <c r="B4" t="s">
        <v>1</v>
      </c>
      <c r="C4" t="s">
        <v>2</v>
      </c>
      <c r="D4" t="s">
        <v>11</v>
      </c>
    </row>
    <row r="5" spans="1:9" x14ac:dyDescent="0.3">
      <c r="A5">
        <v>-0.2</v>
      </c>
      <c r="B5">
        <f>A5*(1+$E$2/$E$1)</f>
        <v>-20</v>
      </c>
      <c r="C5" s="3">
        <f>A5*$H$3</f>
        <v>-19.980019980019982</v>
      </c>
      <c r="D5" s="3">
        <f>MIN($B$2,MAX($B$3,C5))</f>
        <v>-10</v>
      </c>
      <c r="G5" s="4" t="s">
        <v>12</v>
      </c>
      <c r="H5">
        <v>1000000</v>
      </c>
    </row>
    <row r="6" spans="1:9" x14ac:dyDescent="0.3">
      <c r="A6">
        <f>A5+0.01</f>
        <v>-0.19</v>
      </c>
      <c r="B6">
        <f t="shared" ref="B6:B45" si="0">A6*(1+$E$2/$E$1)</f>
        <v>-19</v>
      </c>
      <c r="C6" s="3">
        <f t="shared" ref="C6:C45" si="1">A6*$H$3</f>
        <v>-18.98101898101898</v>
      </c>
      <c r="D6" s="3">
        <f t="shared" ref="D6:D45" si="2">MIN($B$2,MAX($B$3,C6))</f>
        <v>-10</v>
      </c>
      <c r="G6" s="4" t="s">
        <v>8</v>
      </c>
      <c r="H6">
        <v>100</v>
      </c>
    </row>
    <row r="7" spans="1:9" x14ac:dyDescent="0.3">
      <c r="A7">
        <f t="shared" ref="A7:A45" si="3">A6+0.01</f>
        <v>-0.18</v>
      </c>
      <c r="B7">
        <f t="shared" si="0"/>
        <v>-18</v>
      </c>
      <c r="C7" s="3">
        <f t="shared" si="1"/>
        <v>-17.982017982017982</v>
      </c>
      <c r="D7" s="3">
        <f t="shared" si="2"/>
        <v>-10</v>
      </c>
      <c r="G7" s="5" t="s">
        <v>13</v>
      </c>
      <c r="H7" s="5">
        <f>H5/H6</f>
        <v>10000</v>
      </c>
      <c r="I7" t="s">
        <v>14</v>
      </c>
    </row>
    <row r="8" spans="1:9" x14ac:dyDescent="0.3">
      <c r="A8">
        <f t="shared" si="3"/>
        <v>-0.16999999999999998</v>
      </c>
      <c r="B8">
        <f t="shared" si="0"/>
        <v>-17</v>
      </c>
      <c r="C8" s="3">
        <f t="shared" si="1"/>
        <v>-16.983016983016981</v>
      </c>
      <c r="D8" s="3">
        <f t="shared" si="2"/>
        <v>-10</v>
      </c>
    </row>
    <row r="9" spans="1:9" x14ac:dyDescent="0.3">
      <c r="A9">
        <f t="shared" si="3"/>
        <v>-0.15999999999999998</v>
      </c>
      <c r="B9">
        <f t="shared" si="0"/>
        <v>-15.999999999999998</v>
      </c>
      <c r="C9" s="3">
        <f t="shared" si="1"/>
        <v>-15.984015984015983</v>
      </c>
      <c r="D9" s="3">
        <f t="shared" si="2"/>
        <v>-10</v>
      </c>
    </row>
    <row r="10" spans="1:9" x14ac:dyDescent="0.3">
      <c r="A10">
        <f t="shared" si="3"/>
        <v>-0.14999999999999997</v>
      </c>
      <c r="B10">
        <f t="shared" si="0"/>
        <v>-14.999999999999996</v>
      </c>
      <c r="C10" s="3">
        <f t="shared" si="1"/>
        <v>-14.985014985014983</v>
      </c>
      <c r="D10" s="3">
        <f t="shared" si="2"/>
        <v>-10</v>
      </c>
    </row>
    <row r="11" spans="1:9" x14ac:dyDescent="0.3">
      <c r="A11">
        <f t="shared" si="3"/>
        <v>-0.13999999999999996</v>
      </c>
      <c r="B11">
        <f t="shared" si="0"/>
        <v>-13.999999999999996</v>
      </c>
      <c r="C11" s="3">
        <f t="shared" si="1"/>
        <v>-13.986013986013981</v>
      </c>
      <c r="D11" s="3">
        <f t="shared" si="2"/>
        <v>-10</v>
      </c>
    </row>
    <row r="12" spans="1:9" x14ac:dyDescent="0.3">
      <c r="A12">
        <f t="shared" si="3"/>
        <v>-0.12999999999999995</v>
      </c>
      <c r="B12">
        <f t="shared" si="0"/>
        <v>-12.999999999999995</v>
      </c>
      <c r="C12" s="3">
        <f t="shared" si="1"/>
        <v>-12.987012987012982</v>
      </c>
      <c r="D12" s="3">
        <f t="shared" si="2"/>
        <v>-10</v>
      </c>
    </row>
    <row r="13" spans="1:9" x14ac:dyDescent="0.3">
      <c r="A13">
        <f t="shared" si="3"/>
        <v>-0.11999999999999995</v>
      </c>
      <c r="B13">
        <f t="shared" si="0"/>
        <v>-11.999999999999995</v>
      </c>
      <c r="C13" s="3">
        <f t="shared" si="1"/>
        <v>-11.988011988011984</v>
      </c>
      <c r="D13" s="3">
        <f t="shared" si="2"/>
        <v>-10</v>
      </c>
    </row>
    <row r="14" spans="1:9" x14ac:dyDescent="0.3">
      <c r="A14">
        <f t="shared" si="3"/>
        <v>-0.10999999999999996</v>
      </c>
      <c r="B14">
        <f t="shared" si="0"/>
        <v>-10.999999999999996</v>
      </c>
      <c r="C14" s="3">
        <f t="shared" si="1"/>
        <v>-10.989010989010985</v>
      </c>
      <c r="D14" s="3">
        <f t="shared" si="2"/>
        <v>-10</v>
      </c>
    </row>
    <row r="15" spans="1:9" x14ac:dyDescent="0.3">
      <c r="A15">
        <f t="shared" si="3"/>
        <v>-9.9999999999999964E-2</v>
      </c>
      <c r="B15">
        <f t="shared" si="0"/>
        <v>-9.9999999999999964</v>
      </c>
      <c r="C15" s="3">
        <f t="shared" si="1"/>
        <v>-9.9900099900099875</v>
      </c>
      <c r="D15" s="3">
        <f t="shared" si="2"/>
        <v>-9.9900099900099875</v>
      </c>
    </row>
    <row r="16" spans="1:9" x14ac:dyDescent="0.3">
      <c r="A16">
        <f t="shared" si="3"/>
        <v>-8.9999999999999969E-2</v>
      </c>
      <c r="B16">
        <f t="shared" si="0"/>
        <v>-8.9999999999999964</v>
      </c>
      <c r="C16" s="3">
        <f t="shared" si="1"/>
        <v>-8.9910089910089876</v>
      </c>
      <c r="D16" s="3">
        <f t="shared" si="2"/>
        <v>-8.9910089910089876</v>
      </c>
    </row>
    <row r="17" spans="1:4" x14ac:dyDescent="0.3">
      <c r="A17">
        <f t="shared" si="3"/>
        <v>-7.9999999999999974E-2</v>
      </c>
      <c r="B17">
        <f t="shared" si="0"/>
        <v>-7.9999999999999973</v>
      </c>
      <c r="C17" s="3">
        <f t="shared" si="1"/>
        <v>-7.9920079920079896</v>
      </c>
      <c r="D17" s="3">
        <f t="shared" si="2"/>
        <v>-7.9920079920079896</v>
      </c>
    </row>
    <row r="18" spans="1:4" x14ac:dyDescent="0.3">
      <c r="A18">
        <f t="shared" si="3"/>
        <v>-6.9999999999999979E-2</v>
      </c>
      <c r="B18">
        <f t="shared" si="0"/>
        <v>-6.9999999999999982</v>
      </c>
      <c r="C18" s="3">
        <f t="shared" si="1"/>
        <v>-6.9930069930069907</v>
      </c>
      <c r="D18" s="3">
        <f t="shared" si="2"/>
        <v>-6.9930069930069907</v>
      </c>
    </row>
    <row r="19" spans="1:4" x14ac:dyDescent="0.3">
      <c r="A19">
        <f t="shared" si="3"/>
        <v>-5.9999999999999977E-2</v>
      </c>
      <c r="B19">
        <f t="shared" si="0"/>
        <v>-5.9999999999999973</v>
      </c>
      <c r="C19" s="3">
        <f t="shared" si="1"/>
        <v>-5.9940059940059918</v>
      </c>
      <c r="D19" s="3">
        <f t="shared" si="2"/>
        <v>-5.9940059940059918</v>
      </c>
    </row>
    <row r="20" spans="1:4" x14ac:dyDescent="0.3">
      <c r="A20">
        <f t="shared" si="3"/>
        <v>-4.9999999999999975E-2</v>
      </c>
      <c r="B20">
        <f t="shared" si="0"/>
        <v>-4.9999999999999973</v>
      </c>
      <c r="C20" s="3">
        <f t="shared" si="1"/>
        <v>-4.9950049950049928</v>
      </c>
      <c r="D20" s="3">
        <f t="shared" si="2"/>
        <v>-4.9950049950049928</v>
      </c>
    </row>
    <row r="21" spans="1:4" x14ac:dyDescent="0.3">
      <c r="A21">
        <f t="shared" si="3"/>
        <v>-3.9999999999999973E-2</v>
      </c>
      <c r="B21">
        <f t="shared" si="0"/>
        <v>-3.9999999999999973</v>
      </c>
      <c r="C21" s="3">
        <f t="shared" si="1"/>
        <v>-3.9960039960039935</v>
      </c>
      <c r="D21" s="3">
        <f t="shared" si="2"/>
        <v>-3.9960039960039935</v>
      </c>
    </row>
    <row r="22" spans="1:4" x14ac:dyDescent="0.3">
      <c r="A22">
        <f t="shared" si="3"/>
        <v>-2.9999999999999971E-2</v>
      </c>
      <c r="B22">
        <f t="shared" si="0"/>
        <v>-2.9999999999999973</v>
      </c>
      <c r="C22" s="3">
        <f t="shared" si="1"/>
        <v>-2.9970029970029941</v>
      </c>
      <c r="D22" s="3">
        <f t="shared" si="2"/>
        <v>-2.9970029970029941</v>
      </c>
    </row>
    <row r="23" spans="1:4" x14ac:dyDescent="0.3">
      <c r="A23">
        <f t="shared" si="3"/>
        <v>-1.9999999999999969E-2</v>
      </c>
      <c r="B23">
        <f t="shared" si="0"/>
        <v>-1.9999999999999969</v>
      </c>
      <c r="C23" s="3">
        <f t="shared" si="1"/>
        <v>-1.998001998001995</v>
      </c>
      <c r="D23" s="3">
        <f t="shared" si="2"/>
        <v>-1.998001998001995</v>
      </c>
    </row>
    <row r="24" spans="1:4" x14ac:dyDescent="0.3">
      <c r="A24">
        <f t="shared" si="3"/>
        <v>-9.999999999999969E-3</v>
      </c>
      <c r="B24">
        <f t="shared" si="0"/>
        <v>-0.99999999999999689</v>
      </c>
      <c r="C24" s="3">
        <f t="shared" si="1"/>
        <v>-0.99900099900099593</v>
      </c>
      <c r="D24" s="3">
        <f t="shared" si="2"/>
        <v>-0.99900099900099593</v>
      </c>
    </row>
    <row r="25" spans="1:4" x14ac:dyDescent="0.3">
      <c r="A25">
        <v>0</v>
      </c>
      <c r="B25">
        <f t="shared" si="0"/>
        <v>0</v>
      </c>
      <c r="C25" s="3">
        <f t="shared" si="1"/>
        <v>0</v>
      </c>
      <c r="D25" s="3">
        <f t="shared" si="2"/>
        <v>0</v>
      </c>
    </row>
    <row r="26" spans="1:4" x14ac:dyDescent="0.3">
      <c r="A26">
        <f t="shared" si="3"/>
        <v>0.01</v>
      </c>
      <c r="B26">
        <f t="shared" si="0"/>
        <v>1</v>
      </c>
      <c r="C26" s="3">
        <f t="shared" si="1"/>
        <v>0.99900099900099903</v>
      </c>
      <c r="D26" s="3">
        <f t="shared" si="2"/>
        <v>0.99900099900099903</v>
      </c>
    </row>
    <row r="27" spans="1:4" x14ac:dyDescent="0.3">
      <c r="A27">
        <f t="shared" si="3"/>
        <v>0.02</v>
      </c>
      <c r="B27">
        <f t="shared" si="0"/>
        <v>2</v>
      </c>
      <c r="C27" s="3">
        <f t="shared" si="1"/>
        <v>1.9980019980019981</v>
      </c>
      <c r="D27" s="3">
        <f t="shared" si="2"/>
        <v>1.9980019980019981</v>
      </c>
    </row>
    <row r="28" spans="1:4" x14ac:dyDescent="0.3">
      <c r="A28">
        <f t="shared" si="3"/>
        <v>0.03</v>
      </c>
      <c r="B28">
        <f t="shared" si="0"/>
        <v>3</v>
      </c>
      <c r="C28" s="3">
        <f t="shared" si="1"/>
        <v>2.9970029970029968</v>
      </c>
      <c r="D28" s="3">
        <f t="shared" si="2"/>
        <v>2.9970029970029968</v>
      </c>
    </row>
    <row r="29" spans="1:4" x14ac:dyDescent="0.3">
      <c r="A29">
        <f t="shared" si="3"/>
        <v>0.04</v>
      </c>
      <c r="B29">
        <f t="shared" si="0"/>
        <v>4</v>
      </c>
      <c r="C29" s="3">
        <f t="shared" si="1"/>
        <v>3.9960039960039961</v>
      </c>
      <c r="D29" s="3">
        <f t="shared" si="2"/>
        <v>3.9960039960039961</v>
      </c>
    </row>
    <row r="30" spans="1:4" x14ac:dyDescent="0.3">
      <c r="A30">
        <f t="shared" si="3"/>
        <v>0.05</v>
      </c>
      <c r="B30">
        <f t="shared" si="0"/>
        <v>5</v>
      </c>
      <c r="C30" s="3">
        <f t="shared" si="1"/>
        <v>4.9950049950049955</v>
      </c>
      <c r="D30" s="3">
        <f t="shared" si="2"/>
        <v>4.9950049950049955</v>
      </c>
    </row>
    <row r="31" spans="1:4" x14ac:dyDescent="0.3">
      <c r="A31">
        <f t="shared" si="3"/>
        <v>6.0000000000000005E-2</v>
      </c>
      <c r="B31">
        <f t="shared" si="0"/>
        <v>6.0000000000000009</v>
      </c>
      <c r="C31" s="3">
        <f t="shared" si="1"/>
        <v>5.9940059940059944</v>
      </c>
      <c r="D31" s="3">
        <f t="shared" si="2"/>
        <v>5.9940059940059944</v>
      </c>
    </row>
    <row r="32" spans="1:4" x14ac:dyDescent="0.3">
      <c r="A32">
        <f t="shared" si="3"/>
        <v>7.0000000000000007E-2</v>
      </c>
      <c r="B32">
        <f t="shared" si="0"/>
        <v>7.0000000000000009</v>
      </c>
      <c r="C32" s="3">
        <f t="shared" si="1"/>
        <v>6.9930069930069942</v>
      </c>
      <c r="D32" s="3">
        <f>MIN($B$2,MAX($B$3,C32))</f>
        <v>6.9930069930069942</v>
      </c>
    </row>
    <row r="33" spans="1:4" x14ac:dyDescent="0.3">
      <c r="A33">
        <f t="shared" si="3"/>
        <v>0.08</v>
      </c>
      <c r="B33">
        <f t="shared" si="0"/>
        <v>8</v>
      </c>
      <c r="C33" s="3">
        <f t="shared" si="1"/>
        <v>7.9920079920079923</v>
      </c>
      <c r="D33" s="3">
        <f t="shared" si="2"/>
        <v>7.9920079920079923</v>
      </c>
    </row>
    <row r="34" spans="1:4" x14ac:dyDescent="0.3">
      <c r="A34">
        <f t="shared" si="3"/>
        <v>0.09</v>
      </c>
      <c r="B34">
        <f t="shared" si="0"/>
        <v>9</v>
      </c>
      <c r="C34" s="3">
        <f t="shared" si="1"/>
        <v>8.9910089910089912</v>
      </c>
      <c r="D34" s="3">
        <f t="shared" si="2"/>
        <v>8.5</v>
      </c>
    </row>
    <row r="35" spans="1:4" x14ac:dyDescent="0.3">
      <c r="A35">
        <f t="shared" si="3"/>
        <v>9.9999999999999992E-2</v>
      </c>
      <c r="B35">
        <f t="shared" si="0"/>
        <v>10</v>
      </c>
      <c r="C35" s="3">
        <f t="shared" si="1"/>
        <v>9.9900099900099892</v>
      </c>
      <c r="D35" s="3">
        <f t="shared" si="2"/>
        <v>8.5</v>
      </c>
    </row>
    <row r="36" spans="1:4" x14ac:dyDescent="0.3">
      <c r="A36">
        <f t="shared" si="3"/>
        <v>0.10999999999999999</v>
      </c>
      <c r="B36">
        <f t="shared" si="0"/>
        <v>10.999999999999998</v>
      </c>
      <c r="C36" s="3">
        <f t="shared" si="1"/>
        <v>10.989010989010987</v>
      </c>
      <c r="D36" s="3">
        <f t="shared" si="2"/>
        <v>8.5</v>
      </c>
    </row>
    <row r="37" spans="1:4" x14ac:dyDescent="0.3">
      <c r="A37">
        <f t="shared" si="3"/>
        <v>0.11999999999999998</v>
      </c>
      <c r="B37">
        <f t="shared" si="0"/>
        <v>11.999999999999998</v>
      </c>
      <c r="C37" s="3">
        <f t="shared" si="1"/>
        <v>11.988011988011987</v>
      </c>
      <c r="D37" s="3">
        <f t="shared" si="2"/>
        <v>8.5</v>
      </c>
    </row>
    <row r="38" spans="1:4" x14ac:dyDescent="0.3">
      <c r="A38">
        <f t="shared" si="3"/>
        <v>0.12999999999999998</v>
      </c>
      <c r="B38">
        <f t="shared" si="0"/>
        <v>12.999999999999998</v>
      </c>
      <c r="C38" s="3">
        <f t="shared" si="1"/>
        <v>12.987012987012985</v>
      </c>
      <c r="D38" s="3">
        <f t="shared" si="2"/>
        <v>8.5</v>
      </c>
    </row>
    <row r="39" spans="1:4" x14ac:dyDescent="0.3">
      <c r="A39">
        <f t="shared" si="3"/>
        <v>0.13999999999999999</v>
      </c>
      <c r="B39">
        <f t="shared" si="0"/>
        <v>13.999999999999998</v>
      </c>
      <c r="C39" s="3">
        <f t="shared" si="1"/>
        <v>13.986013986013985</v>
      </c>
      <c r="D39" s="3">
        <f t="shared" si="2"/>
        <v>8.5</v>
      </c>
    </row>
    <row r="40" spans="1:4" x14ac:dyDescent="0.3">
      <c r="A40">
        <f t="shared" si="3"/>
        <v>0.15</v>
      </c>
      <c r="B40">
        <f t="shared" si="0"/>
        <v>15</v>
      </c>
      <c r="C40" s="3">
        <f t="shared" si="1"/>
        <v>14.985014985014985</v>
      </c>
      <c r="D40" s="3">
        <f t="shared" si="2"/>
        <v>8.5</v>
      </c>
    </row>
    <row r="41" spans="1:4" x14ac:dyDescent="0.3">
      <c r="A41">
        <f t="shared" si="3"/>
        <v>0.16</v>
      </c>
      <c r="B41">
        <f t="shared" si="0"/>
        <v>16</v>
      </c>
      <c r="C41" s="3">
        <f t="shared" si="1"/>
        <v>15.984015984015985</v>
      </c>
      <c r="D41" s="3">
        <f t="shared" si="2"/>
        <v>8.5</v>
      </c>
    </row>
    <row r="42" spans="1:4" x14ac:dyDescent="0.3">
      <c r="A42">
        <f t="shared" si="3"/>
        <v>0.17</v>
      </c>
      <c r="B42">
        <f t="shared" si="0"/>
        <v>17</v>
      </c>
      <c r="C42" s="3">
        <f t="shared" si="1"/>
        <v>16.983016983016984</v>
      </c>
      <c r="D42" s="3">
        <f t="shared" si="2"/>
        <v>8.5</v>
      </c>
    </row>
    <row r="43" spans="1:4" x14ac:dyDescent="0.3">
      <c r="A43">
        <f t="shared" si="3"/>
        <v>0.18000000000000002</v>
      </c>
      <c r="B43">
        <f t="shared" si="0"/>
        <v>18.000000000000004</v>
      </c>
      <c r="C43" s="3">
        <f t="shared" si="1"/>
        <v>17.982017982017986</v>
      </c>
      <c r="D43" s="3">
        <f t="shared" si="2"/>
        <v>8.5</v>
      </c>
    </row>
    <row r="44" spans="1:4" x14ac:dyDescent="0.3">
      <c r="A44">
        <f t="shared" si="3"/>
        <v>0.19000000000000003</v>
      </c>
      <c r="B44">
        <f t="shared" si="0"/>
        <v>19.000000000000004</v>
      </c>
      <c r="C44" s="3">
        <f t="shared" si="1"/>
        <v>18.981018981018984</v>
      </c>
      <c r="D44" s="3">
        <f t="shared" si="2"/>
        <v>8.5</v>
      </c>
    </row>
    <row r="45" spans="1:4" x14ac:dyDescent="0.3">
      <c r="A45">
        <f t="shared" si="3"/>
        <v>0.20000000000000004</v>
      </c>
      <c r="B45">
        <f t="shared" si="0"/>
        <v>20.000000000000004</v>
      </c>
      <c r="C45" s="3">
        <f t="shared" si="1"/>
        <v>19.980019980019986</v>
      </c>
      <c r="D45" s="3">
        <f t="shared" si="2"/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Yan</dc:creator>
  <cp:lastModifiedBy>Jason Yan</cp:lastModifiedBy>
  <dcterms:created xsi:type="dcterms:W3CDTF">2026-09-22T17:01:29Z</dcterms:created>
  <dcterms:modified xsi:type="dcterms:W3CDTF">2026-09-22T18:07:36Z</dcterms:modified>
</cp:coreProperties>
</file>